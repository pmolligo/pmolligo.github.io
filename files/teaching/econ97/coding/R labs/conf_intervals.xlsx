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d23038eafab23/Documents/ucla/2025-2026/Spring/Econ97/R labs/"/>
    </mc:Choice>
  </mc:AlternateContent>
  <xr:revisionPtr revIDLastSave="179" documentId="8_{754D4C53-AB12-4C4E-BF85-C301B5F9CF50}" xr6:coauthVersionLast="47" xr6:coauthVersionMax="47" xr10:uidLastSave="{3611F348-F0CE-4F76-97BC-20FB2031C09F}"/>
  <bookViews>
    <workbookView xWindow="-120" yWindow="-120" windowWidth="29040" windowHeight="15720" xr2:uid="{8084E6FD-D6BA-491A-930F-46AEB7059037}"/>
  </bookViews>
  <sheets>
    <sheet name="Samples" sheetId="1" r:id="rId1"/>
    <sheet name="R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/>
  <c r="I11" i="1"/>
  <c r="J11" i="1"/>
  <c r="H12" i="1"/>
  <c r="I12" i="1"/>
  <c r="J12" i="1"/>
  <c r="H13" i="1"/>
  <c r="I13" i="1"/>
  <c r="J13" i="1"/>
  <c r="G13" i="1"/>
  <c r="G12" i="1"/>
  <c r="H17" i="1"/>
  <c r="I17" i="1"/>
  <c r="J17" i="1"/>
  <c r="G17" i="1"/>
  <c r="G16" i="1"/>
  <c r="H16" i="1"/>
  <c r="I16" i="1"/>
  <c r="J16" i="1"/>
  <c r="H15" i="1"/>
  <c r="I15" i="1"/>
  <c r="J15" i="1"/>
  <c r="G15" i="1"/>
  <c r="G11" i="1"/>
  <c r="G7" i="1"/>
  <c r="J5" i="1"/>
  <c r="J2" i="1"/>
  <c r="J3" i="1"/>
  <c r="J4" i="1"/>
  <c r="J7" i="1"/>
  <c r="J8" i="1"/>
  <c r="I2" i="1"/>
  <c r="H7" i="1"/>
  <c r="H3" i="1"/>
  <c r="G8" i="1"/>
  <c r="H2" i="1"/>
  <c r="I3" i="1"/>
  <c r="H4" i="1"/>
  <c r="H5" i="1" s="1"/>
  <c r="I4" i="1"/>
  <c r="I5" i="1"/>
  <c r="I7" i="1"/>
  <c r="H8" i="1"/>
  <c r="I8" i="1"/>
  <c r="G5" i="1"/>
  <c r="G4" i="1"/>
  <c r="G3" i="1"/>
  <c r="G2" i="1"/>
  <c r="A1" i="2" a="1"/>
  <c r="A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<sst xmlns="http://schemas.openxmlformats.org/spreadsheetml/2006/main" count="17" uniqueCount="15">
  <si>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Sample A</t>
  </si>
  <si>
    <t>Sample mean</t>
  </si>
  <si>
    <t>Sample std. deviation</t>
  </si>
  <si>
    <t>Sample size</t>
  </si>
  <si>
    <t>Std. error</t>
  </si>
  <si>
    <t>Lower bound</t>
  </si>
  <si>
    <t>Upper bound</t>
  </si>
  <si>
    <t>Sample B</t>
  </si>
  <si>
    <t>Sample C</t>
  </si>
  <si>
    <t>Sample D</t>
  </si>
  <si>
    <t>T-stat</t>
  </si>
  <si>
    <t>Z-stat</t>
  </si>
  <si>
    <t>alpha</t>
  </si>
  <si>
    <t>Margin of error (z)</t>
  </si>
  <si>
    <t>Margin of error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</si>
</sst>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0A97-8630-42E6-9FAF-BDDB45981478}">
  <dimension ref="A1:J101"/>
  <sheetViews>
    <sheetView tabSelected="1" workbookViewId="0">
      <selection activeCell="I22" sqref="I22"/>
    </sheetView>
  </sheetViews>
  <sheetFormatPr defaultRowHeight="15" x14ac:dyDescent="0.25"/>
  <cols>
    <col min="1" max="1" width="11.85546875" customWidth="1"/>
    <col min="2" max="3" width="10.5703125" bestFit="1" customWidth="1"/>
    <col min="4" max="4" width="12" bestFit="1" customWidth="1"/>
    <col min="5" max="5" width="22.42578125" customWidth="1"/>
    <col min="6" max="6" width="20.140625" customWidth="1"/>
    <col min="7" max="7" width="9.28515625" customWidth="1"/>
    <col min="8" max="8" width="11.42578125" bestFit="1" customWidth="1"/>
    <col min="9" max="9" width="11" customWidth="1"/>
    <col min="10" max="10" width="15.5703125" bestFit="1" customWidth="1"/>
    <col min="11" max="11" width="12.7109375" bestFit="1" customWidth="1"/>
    <col min="12" max="12" width="12.42578125" bestFit="1" customWidth="1"/>
  </cols>
  <sheetData>
    <row r="1" spans="1:10" x14ac:dyDescent="0.25">
      <c r="A1" t="s">
        <v>0</v>
      </c>
      <c r="B1" t="s">
        <v>7</v>
      </c>
      <c r="C1" t="s">
        <v>8</v>
      </c>
      <c r="D1" t="s">
        <v>9</v>
      </c>
    </row>
    <row r="2" spans="1:10" x14ac:dyDescent="0.25">
      <c r="A2" s="2">
        <v>37.220923770557562</v>
      </c>
      <c r="B2" s="2">
        <v>72.638008286027741</v>
      </c>
      <c r="C2" s="2">
        <v>3.6518465331703283</v>
      </c>
      <c r="D2" s="2">
        <v>46.320153246921322</v>
      </c>
      <c r="F2" t="s">
        <v>3</v>
      </c>
      <c r="G2">
        <f>COUNT(A$2:A$51)</f>
        <v>50</v>
      </c>
      <c r="H2">
        <f t="shared" ref="H2:I2" si="0">COUNT(B$2:B$51)</f>
        <v>50</v>
      </c>
      <c r="I2">
        <f>COUNT(C$2:C$51)</f>
        <v>50</v>
      </c>
      <c r="J2">
        <f>COUNT(D$2:D$51)</f>
        <v>50</v>
      </c>
    </row>
    <row r="3" spans="1:10" x14ac:dyDescent="0.25">
      <c r="A3" s="2">
        <v>2.518411184671919</v>
      </c>
      <c r="B3" s="2">
        <v>88.391210483063404</v>
      </c>
      <c r="C3" s="2">
        <v>54.935003527007495</v>
      </c>
      <c r="D3" s="2">
        <v>65.85787410964646</v>
      </c>
      <c r="F3" t="s">
        <v>1</v>
      </c>
      <c r="G3" s="2">
        <f>AVERAGE(A$2:A$51)</f>
        <v>51.490823094222051</v>
      </c>
      <c r="H3" s="2">
        <f>AVERAGE(B$2:B$51)</f>
        <v>50.10213601582641</v>
      </c>
      <c r="I3" s="2">
        <f t="shared" ref="H3:J3" si="1">AVERAGE(C$2:C$51)</f>
        <v>50.734700654178923</v>
      </c>
      <c r="J3" s="2">
        <f t="shared" si="1"/>
        <v>54.031481564703391</v>
      </c>
    </row>
    <row r="4" spans="1:10" x14ac:dyDescent="0.25">
      <c r="A4" s="2">
        <v>15.858343213896646</v>
      </c>
      <c r="B4" s="2">
        <v>81.524761608874556</v>
      </c>
      <c r="C4" s="2">
        <v>80.380624877283381</v>
      </c>
      <c r="D4" s="2">
        <v>40.910244719049231</v>
      </c>
      <c r="F4" t="s">
        <v>2</v>
      </c>
      <c r="G4" s="2">
        <f>_xlfn.STDEV.S(A$2:A$51)</f>
        <v>29.195972149546229</v>
      </c>
      <c r="H4" s="2">
        <f t="shared" ref="H4:J4" si="2">_xlfn.STDEV.S(B$2:B$51)</f>
        <v>30.569998649925346</v>
      </c>
      <c r="I4" s="2">
        <f t="shared" si="2"/>
        <v>29.582146509576376</v>
      </c>
      <c r="J4" s="2">
        <f t="shared" si="2"/>
        <v>25.952021866384392</v>
      </c>
    </row>
    <row r="5" spans="1:10" x14ac:dyDescent="0.25">
      <c r="A5" s="2">
        <v>18.239590739313925</v>
      </c>
      <c r="B5" s="2">
        <v>42.68004933755094</v>
      </c>
      <c r="C5" s="2">
        <v>25.896944404295198</v>
      </c>
      <c r="D5" s="2">
        <v>88.615831387519577</v>
      </c>
      <c r="F5" t="s">
        <v>4</v>
      </c>
      <c r="G5" s="2">
        <f>G4/SQRT(G$2)</f>
        <v>4.1289339780555441</v>
      </c>
      <c r="H5" s="2">
        <f t="shared" ref="H5:J5" si="3">H4/SQRT(H$2)</f>
        <v>4.3232506692451631</v>
      </c>
      <c r="I5" s="2">
        <f t="shared" si="3"/>
        <v>4.1835472797950821</v>
      </c>
      <c r="J5" s="2">
        <f>J4/SQRT(J$2)</f>
        <v>3.6701701294443927</v>
      </c>
    </row>
    <row r="6" spans="1:10" x14ac:dyDescent="0.25">
      <c r="A6" s="2">
        <v>69.555902932261063</v>
      </c>
      <c r="B6" s="2">
        <v>88.267816964480986</v>
      </c>
      <c r="C6" s="2">
        <v>13.623188756598651</v>
      </c>
      <c r="D6" s="2">
        <v>11.540497759613956</v>
      </c>
      <c r="F6" t="s">
        <v>12</v>
      </c>
      <c r="G6" s="2">
        <v>0.05</v>
      </c>
      <c r="H6" s="2">
        <v>0.05</v>
      </c>
      <c r="I6" s="2">
        <v>0.05</v>
      </c>
      <c r="J6" s="2">
        <v>0.05</v>
      </c>
    </row>
    <row r="7" spans="1:10" x14ac:dyDescent="0.25">
      <c r="A7" s="2">
        <v>98.376280252299495</v>
      </c>
      <c r="B7" s="2">
        <v>97.260223139901328</v>
      </c>
      <c r="C7" s="2">
        <v>42.160496485535361</v>
      </c>
      <c r="D7" s="2">
        <v>6.841827799091277</v>
      </c>
      <c r="F7" t="s">
        <v>10</v>
      </c>
      <c r="G7" s="2">
        <f>_xlfn.T.INV.2T(0.05, G$2-1)</f>
        <v>2.0095752371292388</v>
      </c>
      <c r="H7" s="2">
        <f>_xlfn.T.INV.2T(0.05, H$2-1)</f>
        <v>2.0095752371292388</v>
      </c>
      <c r="I7" s="2">
        <f t="shared" ref="H7:J7" si="4">_xlfn.T.INV.2T(0.05, I$2-1)</f>
        <v>2.0095752371292388</v>
      </c>
      <c r="J7" s="2">
        <f t="shared" si="4"/>
        <v>2.0095752371292388</v>
      </c>
    </row>
    <row r="8" spans="1:10" x14ac:dyDescent="0.25">
      <c r="A8" s="2">
        <v>71.533310128542496</v>
      </c>
      <c r="B8" s="2">
        <v>93.333830323450826</v>
      </c>
      <c r="C8" s="2">
        <v>67.930456100007177</v>
      </c>
      <c r="D8" s="2">
        <v>83.401851912754651</v>
      </c>
      <c r="F8" t="s">
        <v>11</v>
      </c>
      <c r="G8" s="2">
        <f>_xlfn.NORM.S.INV(1-G$6/2)</f>
        <v>1.9599639845400536</v>
      </c>
      <c r="H8" s="2">
        <f t="shared" ref="H8:J8" si="5">_xlfn.NORM.S.INV(1-H$6/2)</f>
        <v>1.9599639845400536</v>
      </c>
      <c r="I8" s="2">
        <f t="shared" si="5"/>
        <v>1.9599639845400536</v>
      </c>
      <c r="J8" s="2">
        <f t="shared" si="5"/>
        <v>1.9599639845400536</v>
      </c>
    </row>
    <row r="9" spans="1:10" x14ac:dyDescent="0.25">
      <c r="A9" s="2">
        <v>82.827480535633939</v>
      </c>
      <c r="B9" s="2">
        <v>37.672855040699048</v>
      </c>
      <c r="C9" s="2">
        <v>80.28914360442441</v>
      </c>
      <c r="D9" s="2">
        <v>65.865601765515294</v>
      </c>
    </row>
    <row r="10" spans="1:10" x14ac:dyDescent="0.25">
      <c r="A10" s="2">
        <v>77.322181973279157</v>
      </c>
      <c r="B10" s="2">
        <v>84.90447418732289</v>
      </c>
      <c r="C10" s="2">
        <v>89.318582675981617</v>
      </c>
      <c r="D10" s="2">
        <v>64.667671800162935</v>
      </c>
    </row>
    <row r="11" spans="1:10" x14ac:dyDescent="0.25">
      <c r="A11" s="2">
        <v>45.234368310527572</v>
      </c>
      <c r="B11" s="2">
        <v>62.484201522908265</v>
      </c>
      <c r="C11" s="2">
        <v>87.87022922704908</v>
      </c>
      <c r="D11" s="2">
        <v>60.837774783791772</v>
      </c>
      <c r="F11" t="s">
        <v>14</v>
      </c>
      <c r="G11" s="1">
        <f>G5*G7</f>
        <v>8.2974034780419412</v>
      </c>
      <c r="H11" s="1">
        <f t="shared" ref="H11:J11" si="6">H5*H7</f>
        <v>8.6878974888174891</v>
      </c>
      <c r="I11" s="1">
        <f t="shared" si="6"/>
        <v>8.4071530168355846</v>
      </c>
      <c r="J11" s="1">
        <f t="shared" si="6"/>
        <v>7.3754830081828642</v>
      </c>
    </row>
    <row r="12" spans="1:10" x14ac:dyDescent="0.25">
      <c r="A12" s="2">
        <v>16.397058502796071</v>
      </c>
      <c r="B12" s="2">
        <v>95.519557931559149</v>
      </c>
      <c r="C12" s="2">
        <v>5.3519248925698548</v>
      </c>
      <c r="D12" s="2">
        <v>48.841992224636954</v>
      </c>
      <c r="F12" t="s">
        <v>5</v>
      </c>
      <c r="G12" s="1">
        <f>G$3-G$11</f>
        <v>43.193419616180108</v>
      </c>
      <c r="H12" s="1">
        <f t="shared" ref="H12:J12" si="7">H$3-H$11</f>
        <v>41.414238527008919</v>
      </c>
      <c r="I12" s="1">
        <f t="shared" si="7"/>
        <v>42.327547637343336</v>
      </c>
      <c r="J12" s="1">
        <f t="shared" si="7"/>
        <v>46.65599855652053</v>
      </c>
    </row>
    <row r="13" spans="1:10" x14ac:dyDescent="0.25">
      <c r="A13" s="2">
        <v>32.367851863437849</v>
      </c>
      <c r="B13" s="2">
        <v>65.541861686514565</v>
      </c>
      <c r="C13" s="2">
        <v>3.5956739995779117</v>
      </c>
      <c r="D13" s="2">
        <v>76.796490201897868</v>
      </c>
      <c r="F13" t="s">
        <v>6</v>
      </c>
      <c r="G13" s="1">
        <f>G$3+G$11</f>
        <v>59.788226572263994</v>
      </c>
      <c r="H13" s="1">
        <f t="shared" ref="H13:J13" si="8">H$3+H$11</f>
        <v>58.790033504643901</v>
      </c>
      <c r="I13" s="1">
        <f t="shared" si="8"/>
        <v>59.141853671014509</v>
      </c>
      <c r="J13" s="1">
        <f t="shared" si="8"/>
        <v>61.406964572886253</v>
      </c>
    </row>
    <row r="14" spans="1:10" x14ac:dyDescent="0.25">
      <c r="A14" s="2">
        <v>19.62687756584431</v>
      </c>
      <c r="B14" s="2">
        <v>7.6161173350177336</v>
      </c>
      <c r="C14" s="2">
        <v>11.871412784650389</v>
      </c>
      <c r="D14" s="2">
        <v>89.855952479254384</v>
      </c>
    </row>
    <row r="15" spans="1:10" x14ac:dyDescent="0.25">
      <c r="A15" s="2">
        <v>68.204675339037038</v>
      </c>
      <c r="B15" s="2">
        <v>37.269247655111641</v>
      </c>
      <c r="C15" s="2">
        <v>94.940814252279907</v>
      </c>
      <c r="D15" s="2">
        <v>50.542526262525385</v>
      </c>
      <c r="F15" t="s">
        <v>13</v>
      </c>
      <c r="G15" s="1">
        <f>G5*G8</f>
        <v>8.0925618915325579</v>
      </c>
      <c r="H15" s="1">
        <f t="shared" ref="H15:J15" si="9">H5*H8</f>
        <v>8.473415607859204</v>
      </c>
      <c r="I15" s="1">
        <f t="shared" si="9"/>
        <v>8.1996019960188722</v>
      </c>
      <c r="J15" s="1">
        <f t="shared" si="9"/>
        <v>7.1934012708457162</v>
      </c>
    </row>
    <row r="16" spans="1:10" x14ac:dyDescent="0.25">
      <c r="A16" s="2">
        <v>29.144317412348741</v>
      </c>
      <c r="B16" s="2">
        <v>11.973701141185799</v>
      </c>
      <c r="C16" s="2">
        <v>66.096836252817496</v>
      </c>
      <c r="D16" s="2">
        <v>85.602052751363956</v>
      </c>
      <c r="F16" t="s">
        <v>5</v>
      </c>
      <c r="G16" s="1">
        <f>$G$3-G$15</f>
        <v>43.398261202689497</v>
      </c>
      <c r="H16" s="1">
        <f t="shared" ref="H16:J17" si="10">$G$3-H$15</f>
        <v>43.017407486362849</v>
      </c>
      <c r="I16" s="1">
        <f t="shared" si="10"/>
        <v>43.291221098203181</v>
      </c>
      <c r="J16" s="1">
        <f t="shared" si="10"/>
        <v>44.297421823376332</v>
      </c>
    </row>
    <row r="17" spans="1:10" x14ac:dyDescent="0.25">
      <c r="A17" s="2">
        <v>18.509501115870989</v>
      </c>
      <c r="B17" s="2">
        <v>46.215539154866846</v>
      </c>
      <c r="C17" s="2">
        <v>3.135712448249393</v>
      </c>
      <c r="D17" s="2">
        <v>31.509377539741976</v>
      </c>
      <c r="F17" t="s">
        <v>6</v>
      </c>
      <c r="G17" s="1">
        <f>$G$3+G$15</f>
        <v>59.583384985754606</v>
      </c>
      <c r="H17" s="1">
        <f>$G$3+H$15</f>
        <v>59.964238702081254</v>
      </c>
      <c r="I17" s="1">
        <f t="shared" ref="H17:J17" si="11">$G$3+I$15</f>
        <v>59.690425090240922</v>
      </c>
      <c r="J17" s="1">
        <f t="shared" si="11"/>
        <v>58.68422436506777</v>
      </c>
    </row>
    <row r="18" spans="1:10" x14ac:dyDescent="0.25">
      <c r="A18" s="2">
        <v>87.263388822856996</v>
      </c>
      <c r="B18" s="2">
        <v>88.899812365602571</v>
      </c>
      <c r="C18" s="2">
        <v>59.162113284118789</v>
      </c>
      <c r="D18" s="2">
        <v>29.320491449442727</v>
      </c>
    </row>
    <row r="19" spans="1:10" x14ac:dyDescent="0.25">
      <c r="A19" s="2">
        <v>64.614437336193248</v>
      </c>
      <c r="B19" s="2">
        <v>43.629419479659248</v>
      </c>
      <c r="C19" s="2">
        <v>57.134712369746751</v>
      </c>
      <c r="D19" s="2">
        <v>38.736975333519297</v>
      </c>
    </row>
    <row r="20" spans="1:10" x14ac:dyDescent="0.25">
      <c r="A20" s="2">
        <v>90.038581847192319</v>
      </c>
      <c r="B20" s="2">
        <v>87.820722391748063</v>
      </c>
      <c r="C20" s="2">
        <v>81.247595852119659</v>
      </c>
      <c r="D20" s="2">
        <v>53.541779234449123</v>
      </c>
      <c r="F20" s="2"/>
      <c r="G20" s="1"/>
      <c r="H20" s="1"/>
      <c r="I20" s="1"/>
      <c r="J20" s="1"/>
    </row>
    <row r="21" spans="1:10" x14ac:dyDescent="0.25">
      <c r="A21" s="2">
        <v>23.778055870271402</v>
      </c>
      <c r="B21" s="2">
        <v>44.639378343395109</v>
      </c>
      <c r="C21" s="2">
        <v>40.490224258802812</v>
      </c>
      <c r="D21" s="2">
        <v>40.958172228222679</v>
      </c>
      <c r="F21" s="2"/>
      <c r="G21" s="1"/>
      <c r="H21" s="1"/>
      <c r="I21" s="1"/>
      <c r="J21" s="1"/>
    </row>
    <row r="22" spans="1:10" x14ac:dyDescent="0.25">
      <c r="A22" s="2">
        <v>84.852376342574743</v>
      </c>
      <c r="B22" s="2">
        <v>21.839187511019375</v>
      </c>
      <c r="C22" s="2">
        <v>56.939421532433656</v>
      </c>
      <c r="D22" s="2">
        <v>68.103855372616692</v>
      </c>
      <c r="F22" s="2"/>
      <c r="G22" s="1"/>
      <c r="H22" s="1"/>
      <c r="I22" s="1"/>
      <c r="J22" s="1"/>
    </row>
    <row r="23" spans="1:10" x14ac:dyDescent="0.25">
      <c r="A23" s="2">
        <v>46.987650298137495</v>
      </c>
      <c r="B23" s="2">
        <v>2.7120940167612559</v>
      </c>
      <c r="C23" s="2">
        <v>62.641637971877884</v>
      </c>
      <c r="D23" s="2">
        <v>80.379466048235045</v>
      </c>
      <c r="F23" s="2"/>
      <c r="G23" s="1"/>
      <c r="H23" s="1"/>
      <c r="I23" s="1"/>
      <c r="J23" s="1"/>
    </row>
    <row r="24" spans="1:10" x14ac:dyDescent="0.25">
      <c r="A24" s="2">
        <v>36.922431591798201</v>
      </c>
      <c r="B24" s="2">
        <v>71.998209514670478</v>
      </c>
      <c r="C24" s="2">
        <v>53.336310391026188</v>
      </c>
      <c r="D24" s="2">
        <v>3.1842810500919256</v>
      </c>
    </row>
    <row r="25" spans="1:10" x14ac:dyDescent="0.25">
      <c r="A25" s="2">
        <v>72.664018416171075</v>
      </c>
      <c r="B25" s="2">
        <v>47.756394933153459</v>
      </c>
      <c r="C25" s="2">
        <v>62.733540967714234</v>
      </c>
      <c r="D25" s="2">
        <v>47.2195558542642</v>
      </c>
    </row>
    <row r="26" spans="1:10" x14ac:dyDescent="0.25">
      <c r="A26" s="2">
        <v>81.002939652508658</v>
      </c>
      <c r="B26" s="2">
        <v>15.914562797697911</v>
      </c>
      <c r="C26" s="2">
        <v>94.73212030771225</v>
      </c>
      <c r="D26" s="2">
        <v>57.669040521561243</v>
      </c>
    </row>
    <row r="27" spans="1:10" x14ac:dyDescent="0.25">
      <c r="A27" s="2">
        <v>72.211654743049081</v>
      </c>
      <c r="B27" s="2">
        <v>99.488292172162502</v>
      </c>
      <c r="C27" s="2">
        <v>69.060141588762747</v>
      </c>
      <c r="D27" s="2">
        <v>43.133933797611064</v>
      </c>
    </row>
    <row r="28" spans="1:10" x14ac:dyDescent="0.25">
      <c r="A28" s="2">
        <v>42.604114488214123</v>
      </c>
      <c r="B28" s="2">
        <v>38.898818529580126</v>
      </c>
      <c r="C28" s="2">
        <v>85.909597680968659</v>
      </c>
      <c r="D28" s="2">
        <v>25.655013474548454</v>
      </c>
    </row>
    <row r="29" spans="1:10" x14ac:dyDescent="0.25">
      <c r="A29" s="2">
        <v>94.615348535408415</v>
      </c>
      <c r="B29" s="2">
        <v>32.145155368132208</v>
      </c>
      <c r="C29" s="2">
        <v>89.883529230651646</v>
      </c>
      <c r="D29" s="2">
        <v>83.480883821204628</v>
      </c>
    </row>
    <row r="30" spans="1:10" x14ac:dyDescent="0.25">
      <c r="A30" s="2">
        <v>98.921559185627373</v>
      </c>
      <c r="B30" s="2">
        <v>12.793111318745773</v>
      </c>
      <c r="C30" s="2">
        <v>94.086366486890157</v>
      </c>
      <c r="D30" s="2">
        <v>54.05581737409095</v>
      </c>
    </row>
    <row r="31" spans="1:10" x14ac:dyDescent="0.25">
      <c r="A31" s="2">
        <v>25.906702618361138</v>
      </c>
      <c r="B31" s="2">
        <v>26.354810193053652</v>
      </c>
      <c r="C31" s="2">
        <v>90.56891624660264</v>
      </c>
      <c r="D31" s="2">
        <v>98.073818474213624</v>
      </c>
    </row>
    <row r="32" spans="1:10" x14ac:dyDescent="0.25">
      <c r="A32" s="2">
        <v>67.166456294809649</v>
      </c>
      <c r="B32" s="2">
        <v>49.34475148552923</v>
      </c>
      <c r="C32" s="2">
        <v>51.083466158945271</v>
      </c>
      <c r="D32" s="2">
        <v>34.111341413906629</v>
      </c>
    </row>
    <row r="33" spans="1:4" x14ac:dyDescent="0.25">
      <c r="A33" s="2">
        <v>42.865050228733452</v>
      </c>
      <c r="B33" s="2">
        <v>39.707779790889447</v>
      </c>
      <c r="C33" s="2">
        <v>15.119133903165775</v>
      </c>
      <c r="D33" s="2">
        <v>21.208998820729363</v>
      </c>
    </row>
    <row r="34" spans="1:4" x14ac:dyDescent="0.25">
      <c r="A34" s="2">
        <v>22.371475570159561</v>
      </c>
      <c r="B34" s="2">
        <v>32.171029602359852</v>
      </c>
      <c r="C34" s="2">
        <v>63.822270138191129</v>
      </c>
      <c r="D34" s="2">
        <v>57.420278676837</v>
      </c>
    </row>
    <row r="35" spans="1:4" x14ac:dyDescent="0.25">
      <c r="A35" s="2">
        <v>25.619021156729872</v>
      </c>
      <c r="B35" s="2">
        <v>21.728918266714757</v>
      </c>
      <c r="C35" s="2">
        <v>86.738970311527837</v>
      </c>
      <c r="D35" s="2">
        <v>61.560675637204398</v>
      </c>
    </row>
    <row r="36" spans="1:4" x14ac:dyDescent="0.25">
      <c r="A36" s="2">
        <v>20.345689188403739</v>
      </c>
      <c r="B36" s="2">
        <v>22.412102192257962</v>
      </c>
      <c r="C36" s="2">
        <v>23.020557431888008</v>
      </c>
      <c r="D36" s="2">
        <v>18.072028395661761</v>
      </c>
    </row>
    <row r="37" spans="1:4" x14ac:dyDescent="0.25">
      <c r="A37" s="2">
        <v>44.262348483227967</v>
      </c>
      <c r="B37" s="2">
        <v>15.763112001609883</v>
      </c>
      <c r="C37" s="2">
        <v>60.759738392788833</v>
      </c>
      <c r="D37" s="2">
        <v>26.428768498096645</v>
      </c>
    </row>
    <row r="38" spans="1:4" x14ac:dyDescent="0.25">
      <c r="A38" s="2">
        <v>69.567141230999312</v>
      </c>
      <c r="B38" s="2">
        <v>98.824622366349587</v>
      </c>
      <c r="C38" s="2">
        <v>22.474686164981492</v>
      </c>
      <c r="D38" s="2">
        <v>59.787099870249492</v>
      </c>
    </row>
    <row r="39" spans="1:4" x14ac:dyDescent="0.25">
      <c r="A39" s="2">
        <v>33.037752759324533</v>
      </c>
      <c r="B39" s="2">
        <v>86.546031348489336</v>
      </c>
      <c r="C39" s="2">
        <v>13.876233991896413</v>
      </c>
      <c r="D39" s="2">
        <v>37.437715353105659</v>
      </c>
    </row>
    <row r="40" spans="1:4" x14ac:dyDescent="0.25">
      <c r="A40" s="2">
        <v>35.012515141085316</v>
      </c>
      <c r="B40" s="2">
        <v>26.63998335431971</v>
      </c>
      <c r="C40" s="2">
        <v>22.912709455784125</v>
      </c>
      <c r="D40" s="2">
        <v>81.106192981372288</v>
      </c>
    </row>
    <row r="41" spans="1:4" x14ac:dyDescent="0.25">
      <c r="A41" s="2">
        <v>83.933346578794229</v>
      </c>
      <c r="B41" s="2">
        <v>99.765227912012691</v>
      </c>
      <c r="C41" s="2">
        <v>3.9528075746835611</v>
      </c>
      <c r="D41" s="2">
        <v>85.365125950831043</v>
      </c>
    </row>
    <row r="42" spans="1:4" x14ac:dyDescent="0.25">
      <c r="A42" s="2">
        <v>90.694687860666789</v>
      </c>
      <c r="B42" s="2">
        <v>15.181954575288501</v>
      </c>
      <c r="C42" s="2">
        <v>64.806367024206438</v>
      </c>
      <c r="D42" s="2">
        <v>5.1672648214754275</v>
      </c>
    </row>
    <row r="43" spans="1:4" x14ac:dyDescent="0.25">
      <c r="A43" s="2">
        <v>6.3798130395232135</v>
      </c>
      <c r="B43" s="2">
        <v>87.451725515821749</v>
      </c>
      <c r="C43" s="2">
        <v>30.57263961382678</v>
      </c>
      <c r="D43" s="2">
        <v>73.626683645458698</v>
      </c>
    </row>
    <row r="44" spans="1:4" x14ac:dyDescent="0.25">
      <c r="A44" s="2">
        <v>64.705134946563916</v>
      </c>
      <c r="B44" s="2">
        <v>54.594233972929317</v>
      </c>
      <c r="C44" s="2">
        <v>13.089388051015064</v>
      </c>
      <c r="D44" s="2">
        <v>69.710817950114333</v>
      </c>
    </row>
    <row r="45" spans="1:4" x14ac:dyDescent="0.25">
      <c r="A45" s="2">
        <v>21.378392638306096</v>
      </c>
      <c r="B45" s="2">
        <v>54.850387986870729</v>
      </c>
      <c r="C45" s="2">
        <v>56.49948325861132</v>
      </c>
      <c r="D45" s="2">
        <v>12.718788974310542</v>
      </c>
    </row>
    <row r="46" spans="1:4" x14ac:dyDescent="0.25">
      <c r="A46" s="2">
        <v>81.131647310566876</v>
      </c>
      <c r="B46" s="2">
        <v>7.5237635830574874</v>
      </c>
      <c r="C46" s="2">
        <v>28.659838336942741</v>
      </c>
      <c r="D46" s="2">
        <v>93.861529872798286</v>
      </c>
    </row>
    <row r="47" spans="1:4" x14ac:dyDescent="0.25">
      <c r="A47" s="2">
        <v>34.897973715864296</v>
      </c>
      <c r="B47" s="2">
        <v>21.387423516034261</v>
      </c>
      <c r="C47" s="2">
        <v>33.221779219482187</v>
      </c>
      <c r="D47" s="2">
        <v>91.037790346870821</v>
      </c>
    </row>
    <row r="48" spans="1:4" x14ac:dyDescent="0.25">
      <c r="A48" s="2">
        <v>77.48752808838438</v>
      </c>
      <c r="B48" s="2">
        <v>19.786770846079378</v>
      </c>
      <c r="C48" s="2">
        <v>41.692381543637566</v>
      </c>
      <c r="D48" s="2">
        <v>64.91329406392731</v>
      </c>
    </row>
    <row r="49" spans="1:4" x14ac:dyDescent="0.25">
      <c r="A49" s="2">
        <v>97.101360607326711</v>
      </c>
      <c r="B49" s="2">
        <v>20.404895300466194</v>
      </c>
      <c r="C49" s="2">
        <v>65.706854306929245</v>
      </c>
      <c r="D49" s="2">
        <v>79.756846043088117</v>
      </c>
    </row>
    <row r="50" spans="1:4" x14ac:dyDescent="0.25">
      <c r="A50" s="2">
        <v>9.8078611146052879</v>
      </c>
      <c r="B50" s="2">
        <v>29.590196962283343</v>
      </c>
      <c r="C50" s="2">
        <v>27.362081025318432</v>
      </c>
      <c r="D50" s="2">
        <v>31.066597548870021</v>
      </c>
    </row>
    <row r="51" spans="1:4" x14ac:dyDescent="0.25">
      <c r="A51" s="2">
        <v>21.45562416834521</v>
      </c>
      <c r="B51" s="2">
        <v>53.248465478040274</v>
      </c>
      <c r="C51" s="2">
        <v>82.388527814199236</v>
      </c>
      <c r="D51" s="2">
        <v>55.695434592703947</v>
      </c>
    </row>
    <row r="52" spans="1:4" x14ac:dyDescent="0.25">
      <c r="B52">
        <v>23.979107322417704</v>
      </c>
      <c r="C52">
        <v>30.768516410536876</v>
      </c>
      <c r="D52">
        <v>43.518329513584902</v>
      </c>
    </row>
    <row r="53" spans="1:4" x14ac:dyDescent="0.25">
      <c r="B53">
        <v>5.437587781457097</v>
      </c>
      <c r="C53">
        <v>39.865035880423108</v>
      </c>
      <c r="D53">
        <v>36.294288174420416</v>
      </c>
    </row>
    <row r="54" spans="1:4" x14ac:dyDescent="0.25">
      <c r="B54">
        <v>31.746302144419985</v>
      </c>
      <c r="C54">
        <v>87.739383041130012</v>
      </c>
      <c r="D54">
        <v>3.1606711550608111</v>
      </c>
    </row>
    <row r="55" spans="1:4" x14ac:dyDescent="0.25">
      <c r="B55">
        <v>71.241441470390811</v>
      </c>
      <c r="C55">
        <v>56.739446307990619</v>
      </c>
      <c r="D55">
        <v>8.0049566747636618</v>
      </c>
    </row>
    <row r="56" spans="1:4" x14ac:dyDescent="0.25">
      <c r="B56">
        <v>74.754677301099832</v>
      </c>
      <c r="C56">
        <v>37.027725766092502</v>
      </c>
      <c r="D56">
        <v>53.408584687288652</v>
      </c>
    </row>
    <row r="57" spans="1:4" x14ac:dyDescent="0.25">
      <c r="B57">
        <v>82.205742028745561</v>
      </c>
      <c r="C57">
        <v>61.253372360586923</v>
      </c>
      <c r="D57">
        <v>3.8721381082694535</v>
      </c>
    </row>
    <row r="58" spans="1:4" x14ac:dyDescent="0.25">
      <c r="B58">
        <v>1.6875671186222689</v>
      </c>
      <c r="C58">
        <v>24.74249391638017</v>
      </c>
      <c r="D58">
        <v>1.9994117534468927</v>
      </c>
    </row>
    <row r="59" spans="1:4" x14ac:dyDescent="0.25">
      <c r="B59">
        <v>96.374560134336619</v>
      </c>
      <c r="C59">
        <v>32.289048602555567</v>
      </c>
      <c r="D59">
        <v>87.601085982293341</v>
      </c>
    </row>
    <row r="60" spans="1:4" x14ac:dyDescent="0.25">
      <c r="B60">
        <v>95.592609256616257</v>
      </c>
      <c r="C60">
        <v>73.226397098731965</v>
      </c>
      <c r="D60">
        <v>91.332298701638152</v>
      </c>
    </row>
    <row r="61" spans="1:4" x14ac:dyDescent="0.25">
      <c r="B61">
        <v>52.558321575333423</v>
      </c>
      <c r="C61">
        <v>50.818896874550106</v>
      </c>
      <c r="D61">
        <v>3.6868519578783889</v>
      </c>
    </row>
    <row r="62" spans="1:4" x14ac:dyDescent="0.25">
      <c r="B62">
        <v>12.296324958829871</v>
      </c>
      <c r="C62">
        <v>81.37206837212193</v>
      </c>
      <c r="D62">
        <v>19.316801299374205</v>
      </c>
    </row>
    <row r="63" spans="1:4" x14ac:dyDescent="0.25">
      <c r="B63">
        <v>69.336333369524013</v>
      </c>
      <c r="C63">
        <v>27.97766952569782</v>
      </c>
      <c r="D63">
        <v>52.895238089405936</v>
      </c>
    </row>
    <row r="64" spans="1:4" x14ac:dyDescent="0.25">
      <c r="B64">
        <v>66.494427407189676</v>
      </c>
      <c r="C64">
        <v>66.682282924476127</v>
      </c>
      <c r="D64">
        <v>46.273412714348765</v>
      </c>
    </row>
    <row r="65" spans="2:4" x14ac:dyDescent="0.25">
      <c r="B65">
        <v>90.388041115639311</v>
      </c>
      <c r="C65">
        <v>99.821515919767876</v>
      </c>
      <c r="D65">
        <v>26.543746549290347</v>
      </c>
    </row>
    <row r="66" spans="2:4" x14ac:dyDescent="0.25">
      <c r="B66">
        <v>50.995927333236338</v>
      </c>
      <c r="C66">
        <v>41.38662303168239</v>
      </c>
      <c r="D66">
        <v>69.140858083592562</v>
      </c>
    </row>
    <row r="67" spans="2:4" x14ac:dyDescent="0.25">
      <c r="B67">
        <v>27.697883121881858</v>
      </c>
      <c r="C67">
        <v>94.086631071659653</v>
      </c>
      <c r="D67">
        <v>19.478172020379915</v>
      </c>
    </row>
    <row r="68" spans="2:4" x14ac:dyDescent="0.25">
      <c r="B68">
        <v>93.884561048823301</v>
      </c>
      <c r="C68">
        <v>65.178554292100728</v>
      </c>
      <c r="D68">
        <v>96.903872563991996</v>
      </c>
    </row>
    <row r="69" spans="2:4" x14ac:dyDescent="0.25">
      <c r="B69">
        <v>24.321676403883671</v>
      </c>
      <c r="C69">
        <v>95.23848913401541</v>
      </c>
      <c r="D69">
        <v>51.550828067771874</v>
      </c>
    </row>
    <row r="70" spans="2:4" x14ac:dyDescent="0.25">
      <c r="B70">
        <v>78.854093401037503</v>
      </c>
      <c r="C70">
        <v>89.802104477927003</v>
      </c>
      <c r="D70">
        <v>20.857894715442654</v>
      </c>
    </row>
    <row r="71" spans="2:4" x14ac:dyDescent="0.25">
      <c r="B71">
        <v>54.368454461950719</v>
      </c>
      <c r="C71">
        <v>96.1850396143534</v>
      </c>
      <c r="D71">
        <v>14.015453666730139</v>
      </c>
    </row>
    <row r="72" spans="2:4" x14ac:dyDescent="0.25">
      <c r="B72">
        <v>10.007539651396669</v>
      </c>
      <c r="C72">
        <v>21.397995183012398</v>
      </c>
      <c r="D72">
        <v>21.576529026697216</v>
      </c>
    </row>
    <row r="73" spans="2:4" x14ac:dyDescent="0.25">
      <c r="B73">
        <v>57.55295761519416</v>
      </c>
      <c r="C73">
        <v>15.481157485147477</v>
      </c>
      <c r="D73">
        <v>84.611829635237257</v>
      </c>
    </row>
    <row r="74" spans="2:4" x14ac:dyDescent="0.25">
      <c r="B74">
        <v>71.577327956274445</v>
      </c>
      <c r="C74">
        <v>43.726437357160293</v>
      </c>
      <c r="D74">
        <v>43.513628725062105</v>
      </c>
    </row>
    <row r="75" spans="2:4" x14ac:dyDescent="0.25">
      <c r="B75">
        <v>53.569119585924753</v>
      </c>
      <c r="C75">
        <v>39.112086641045039</v>
      </c>
      <c r="D75">
        <v>64.153398047246156</v>
      </c>
    </row>
    <row r="76" spans="2:4" x14ac:dyDescent="0.25">
      <c r="B76">
        <v>25.576812018631855</v>
      </c>
      <c r="C76">
        <v>37.944032924520997</v>
      </c>
      <c r="D76">
        <v>40.711623528233318</v>
      </c>
    </row>
    <row r="77" spans="2:4" x14ac:dyDescent="0.25">
      <c r="B77">
        <v>34.365129706416099</v>
      </c>
      <c r="C77">
        <v>71.66002261962285</v>
      </c>
      <c r="D77">
        <v>61.503071802621321</v>
      </c>
    </row>
    <row r="78" spans="2:4" x14ac:dyDescent="0.25">
      <c r="B78">
        <v>70.435978629889917</v>
      </c>
      <c r="C78">
        <v>44.023559187296115</v>
      </c>
      <c r="D78">
        <v>74.349543211392742</v>
      </c>
    </row>
    <row r="79" spans="2:4" x14ac:dyDescent="0.25">
      <c r="B79">
        <v>54.08480608765278</v>
      </c>
      <c r="C79">
        <v>49.823514738271953</v>
      </c>
      <c r="D79">
        <v>5.467853953330831</v>
      </c>
    </row>
    <row r="80" spans="2:4" x14ac:dyDescent="0.25">
      <c r="B80">
        <v>27.036537011758227</v>
      </c>
      <c r="C80">
        <v>5.4142693260966439</v>
      </c>
      <c r="D80">
        <v>6.963878095005839</v>
      </c>
    </row>
    <row r="81" spans="2:4" x14ac:dyDescent="0.25">
      <c r="B81">
        <v>43.955394567518766</v>
      </c>
      <c r="C81">
        <v>86.22861672288829</v>
      </c>
      <c r="D81">
        <v>26.668624327373436</v>
      </c>
    </row>
    <row r="82" spans="2:4" x14ac:dyDescent="0.25">
      <c r="B82">
        <v>70.603365165171084</v>
      </c>
      <c r="C82">
        <v>26.581949418421345</v>
      </c>
      <c r="D82">
        <v>40.638499256915111</v>
      </c>
    </row>
    <row r="83" spans="2:4" x14ac:dyDescent="0.25">
      <c r="B83">
        <v>71.673352437823667</v>
      </c>
      <c r="C83">
        <v>25.049110493009891</v>
      </c>
      <c r="D83">
        <v>18.90511601361969</v>
      </c>
    </row>
    <row r="84" spans="2:4" x14ac:dyDescent="0.25">
      <c r="B84">
        <v>9.9753571531518048</v>
      </c>
      <c r="C84">
        <v>30.911791151127574</v>
      </c>
      <c r="D84">
        <v>92.142966846743079</v>
      </c>
    </row>
    <row r="85" spans="2:4" x14ac:dyDescent="0.25">
      <c r="B85">
        <v>22.133415564940591</v>
      </c>
      <c r="C85">
        <v>62.914197869652256</v>
      </c>
      <c r="D85">
        <v>9.3837138488200225</v>
      </c>
    </row>
    <row r="86" spans="2:4" x14ac:dyDescent="0.25">
      <c r="B86">
        <v>11.885414633010043</v>
      </c>
      <c r="C86">
        <v>93.208866487860803</v>
      </c>
      <c r="D86">
        <v>65.556869065797102</v>
      </c>
    </row>
    <row r="87" spans="2:4" x14ac:dyDescent="0.25">
      <c r="B87">
        <v>63.686893624293731</v>
      </c>
      <c r="C87">
        <v>98.531278068556077</v>
      </c>
      <c r="D87">
        <v>66.172650640807532</v>
      </c>
    </row>
    <row r="88" spans="2:4" x14ac:dyDescent="0.25">
      <c r="B88">
        <v>29.362126317948906</v>
      </c>
      <c r="C88">
        <v>57.051828506366945</v>
      </c>
      <c r="D88">
        <v>58.214771818685335</v>
      </c>
    </row>
    <row r="89" spans="2:4" x14ac:dyDescent="0.25">
      <c r="B89">
        <v>41.236043301673007</v>
      </c>
      <c r="C89">
        <v>86.960611846323673</v>
      </c>
      <c r="D89">
        <v>49.963461265687812</v>
      </c>
    </row>
    <row r="90" spans="2:4" x14ac:dyDescent="0.25">
      <c r="B90">
        <v>11.649851069083141</v>
      </c>
      <c r="C90">
        <v>31.246512710803572</v>
      </c>
      <c r="D90">
        <v>36.582402492018119</v>
      </c>
    </row>
    <row r="91" spans="2:4" x14ac:dyDescent="0.25">
      <c r="B91">
        <v>78.487151715877829</v>
      </c>
      <c r="C91">
        <v>26.237954101613184</v>
      </c>
      <c r="D91">
        <v>14.476204989881452</v>
      </c>
    </row>
    <row r="92" spans="2:4" x14ac:dyDescent="0.25">
      <c r="B92">
        <v>44.493650969479276</v>
      </c>
      <c r="C92">
        <v>13.083861764634321</v>
      </c>
      <c r="D92">
        <v>50.785821955266428</v>
      </c>
    </row>
    <row r="93" spans="2:4" x14ac:dyDescent="0.25">
      <c r="B93">
        <v>8.7391381587682133</v>
      </c>
      <c r="C93">
        <v>54.143128312326141</v>
      </c>
      <c r="D93">
        <v>10.007170104991872</v>
      </c>
    </row>
    <row r="94" spans="2:4" x14ac:dyDescent="0.25">
      <c r="B94">
        <v>87.286804001592287</v>
      </c>
      <c r="C94">
        <v>65.799360542639619</v>
      </c>
      <c r="D94">
        <v>6.9195000201538761</v>
      </c>
    </row>
    <row r="95" spans="2:4" x14ac:dyDescent="0.25">
      <c r="B95">
        <v>65.62321964022199</v>
      </c>
      <c r="C95">
        <v>92.456906530870228</v>
      </c>
      <c r="D95">
        <v>12.557289939832458</v>
      </c>
    </row>
    <row r="96" spans="2:4" x14ac:dyDescent="0.25">
      <c r="B96">
        <v>78.934957015281469</v>
      </c>
      <c r="C96">
        <v>82.161596324653019</v>
      </c>
      <c r="D96">
        <v>1.911527250382477</v>
      </c>
    </row>
    <row r="97" spans="2:4" x14ac:dyDescent="0.25">
      <c r="B97">
        <v>46.602379763290173</v>
      </c>
      <c r="C97">
        <v>22.46194725127765</v>
      </c>
      <c r="D97">
        <v>54.715051151866007</v>
      </c>
    </row>
    <row r="98" spans="2:4" x14ac:dyDescent="0.25">
      <c r="B98">
        <v>8.0674546671202023</v>
      </c>
      <c r="C98">
        <v>65.094098002578406</v>
      </c>
      <c r="D98">
        <v>15.08516055344738</v>
      </c>
    </row>
    <row r="99" spans="2:4" x14ac:dyDescent="0.25">
      <c r="B99">
        <v>89.78450909607794</v>
      </c>
      <c r="C99">
        <v>11.260987503714219</v>
      </c>
      <c r="D99">
        <v>7.504075843779944</v>
      </c>
    </row>
    <row r="100" spans="2:4" x14ac:dyDescent="0.25">
      <c r="B100">
        <v>15.769026622739389</v>
      </c>
      <c r="C100">
        <v>15.408013450436414</v>
      </c>
      <c r="D100">
        <v>34.982104457454</v>
      </c>
    </row>
    <row r="101" spans="2:4" x14ac:dyDescent="0.25">
      <c r="B101">
        <v>49.635498502440939</v>
      </c>
      <c r="C101">
        <v>13.596048016486506</v>
      </c>
      <c r="D101">
        <v>98.574438978217344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6114-C31E-45F1-ADE0-948913D10BEF}">
  <dimension ref="A1:A100"/>
  <sheetViews>
    <sheetView topLeftCell="A66" workbookViewId="0">
      <selection sqref="A1:A100"/>
    </sheetView>
  </sheetViews>
  <sheetFormatPr defaultRowHeight="15" x14ac:dyDescent="0.25"/>
  <sheetData>
    <row r="1" spans="1:1" x14ac:dyDescent="0.25">
      <c r="A1" cm="1">
        <f t="array" aca="1" ref="A1:A100" ca="1">_xlfn.RANDARRAY(100,1,1,100)</f>
        <v>78.23895488693293</v>
      </c>
    </row>
    <row r="2" spans="1:1" x14ac:dyDescent="0.25">
      <c r="A2">
        <f ca="1"/>
        <v>62.9524636265472</v>
      </c>
    </row>
    <row r="3" spans="1:1" x14ac:dyDescent="0.25">
      <c r="A3">
        <f ca="1"/>
        <v>60.896044512035587</v>
      </c>
    </row>
    <row r="4" spans="1:1" x14ac:dyDescent="0.25">
      <c r="A4">
        <f ca="1"/>
        <v>71.922879714390106</v>
      </c>
    </row>
    <row r="5" spans="1:1" x14ac:dyDescent="0.25">
      <c r="A5">
        <f ca="1"/>
        <v>65.953860349178754</v>
      </c>
    </row>
    <row r="6" spans="1:1" x14ac:dyDescent="0.25">
      <c r="A6">
        <f ca="1"/>
        <v>59.432921117962323</v>
      </c>
    </row>
    <row r="7" spans="1:1" x14ac:dyDescent="0.25">
      <c r="A7">
        <f ca="1"/>
        <v>49.80295378277593</v>
      </c>
    </row>
    <row r="8" spans="1:1" x14ac:dyDescent="0.25">
      <c r="A8">
        <f ca="1"/>
        <v>85.396068435363929</v>
      </c>
    </row>
    <row r="9" spans="1:1" x14ac:dyDescent="0.25">
      <c r="A9">
        <f ca="1"/>
        <v>21.891494929733881</v>
      </c>
    </row>
    <row r="10" spans="1:1" x14ac:dyDescent="0.25">
      <c r="A10">
        <f ca="1"/>
        <v>5.1869610431320723</v>
      </c>
    </row>
    <row r="11" spans="1:1" x14ac:dyDescent="0.25">
      <c r="A11">
        <f ca="1"/>
        <v>74.101913490333914</v>
      </c>
    </row>
    <row r="12" spans="1:1" x14ac:dyDescent="0.25">
      <c r="A12">
        <f ca="1"/>
        <v>67.373530504553798</v>
      </c>
    </row>
    <row r="13" spans="1:1" x14ac:dyDescent="0.25">
      <c r="A13">
        <f ca="1"/>
        <v>65.256272840615949</v>
      </c>
    </row>
    <row r="14" spans="1:1" x14ac:dyDescent="0.25">
      <c r="A14">
        <f ca="1"/>
        <v>96.60674925139395</v>
      </c>
    </row>
    <row r="15" spans="1:1" x14ac:dyDescent="0.25">
      <c r="A15">
        <f ca="1"/>
        <v>68.394999150488346</v>
      </c>
    </row>
    <row r="16" spans="1:1" x14ac:dyDescent="0.25">
      <c r="A16">
        <f ca="1"/>
        <v>33.1242377626441</v>
      </c>
    </row>
    <row r="17" spans="1:1" x14ac:dyDescent="0.25">
      <c r="A17">
        <f ca="1"/>
        <v>88.190797860819345</v>
      </c>
    </row>
    <row r="18" spans="1:1" x14ac:dyDescent="0.25">
      <c r="A18">
        <f ca="1"/>
        <v>61.452901186516527</v>
      </c>
    </row>
    <row r="19" spans="1:1" x14ac:dyDescent="0.25">
      <c r="A19">
        <f ca="1"/>
        <v>39.700617774701996</v>
      </c>
    </row>
    <row r="20" spans="1:1" x14ac:dyDescent="0.25">
      <c r="A20">
        <f ca="1"/>
        <v>16.595250742596036</v>
      </c>
    </row>
    <row r="21" spans="1:1" x14ac:dyDescent="0.25">
      <c r="A21">
        <f ca="1"/>
        <v>25.693057798921814</v>
      </c>
    </row>
    <row r="22" spans="1:1" x14ac:dyDescent="0.25">
      <c r="A22">
        <f ca="1"/>
        <v>98.422550406932231</v>
      </c>
    </row>
    <row r="23" spans="1:1" x14ac:dyDescent="0.25">
      <c r="A23">
        <f ca="1"/>
        <v>37.848066376302484</v>
      </c>
    </row>
    <row r="24" spans="1:1" x14ac:dyDescent="0.25">
      <c r="A24">
        <f ca="1"/>
        <v>34.968798719300267</v>
      </c>
    </row>
    <row r="25" spans="1:1" x14ac:dyDescent="0.25">
      <c r="A25">
        <f ca="1"/>
        <v>7.4565228489785227</v>
      </c>
    </row>
    <row r="26" spans="1:1" x14ac:dyDescent="0.25">
      <c r="A26">
        <f ca="1"/>
        <v>33.95378995475113</v>
      </c>
    </row>
    <row r="27" spans="1:1" x14ac:dyDescent="0.25">
      <c r="A27">
        <f ca="1"/>
        <v>6.9788959557689481</v>
      </c>
    </row>
    <row r="28" spans="1:1" x14ac:dyDescent="0.25">
      <c r="A28">
        <f ca="1"/>
        <v>61.822590127360115</v>
      </c>
    </row>
    <row r="29" spans="1:1" x14ac:dyDescent="0.25">
      <c r="A29">
        <f ca="1"/>
        <v>68.47436298410166</v>
      </c>
    </row>
    <row r="30" spans="1:1" x14ac:dyDescent="0.25">
      <c r="A30">
        <f ca="1"/>
        <v>2.3914947250686112</v>
      </c>
    </row>
    <row r="31" spans="1:1" x14ac:dyDescent="0.25">
      <c r="A31">
        <f ca="1"/>
        <v>17.989759238672363</v>
      </c>
    </row>
    <row r="32" spans="1:1" x14ac:dyDescent="0.25">
      <c r="A32">
        <f ca="1"/>
        <v>10.521779612192631</v>
      </c>
    </row>
    <row r="33" spans="1:1" x14ac:dyDescent="0.25">
      <c r="A33">
        <f ca="1"/>
        <v>31.267966743653673</v>
      </c>
    </row>
    <row r="34" spans="1:1" x14ac:dyDescent="0.25">
      <c r="A34">
        <f ca="1"/>
        <v>98.986456030604671</v>
      </c>
    </row>
    <row r="35" spans="1:1" x14ac:dyDescent="0.25">
      <c r="A35">
        <f ca="1"/>
        <v>7.6634258872429228</v>
      </c>
    </row>
    <row r="36" spans="1:1" x14ac:dyDescent="0.25">
      <c r="A36">
        <f ca="1"/>
        <v>74.588395207108832</v>
      </c>
    </row>
    <row r="37" spans="1:1" x14ac:dyDescent="0.25">
      <c r="A37">
        <f ca="1"/>
        <v>82.906925313780377</v>
      </c>
    </row>
    <row r="38" spans="1:1" x14ac:dyDescent="0.25">
      <c r="A38">
        <f ca="1"/>
        <v>18.964094498784277</v>
      </c>
    </row>
    <row r="39" spans="1:1" x14ac:dyDescent="0.25">
      <c r="A39">
        <f ca="1"/>
        <v>23.930118073361257</v>
      </c>
    </row>
    <row r="40" spans="1:1" x14ac:dyDescent="0.25">
      <c r="A40">
        <f ca="1"/>
        <v>50.417106477887415</v>
      </c>
    </row>
    <row r="41" spans="1:1" x14ac:dyDescent="0.25">
      <c r="A41">
        <f ca="1"/>
        <v>48.81010689972679</v>
      </c>
    </row>
    <row r="42" spans="1:1" x14ac:dyDescent="0.25">
      <c r="A42">
        <f ca="1"/>
        <v>27.674639467840876</v>
      </c>
    </row>
    <row r="43" spans="1:1" x14ac:dyDescent="0.25">
      <c r="A43">
        <f ca="1"/>
        <v>22.452987361330358</v>
      </c>
    </row>
    <row r="44" spans="1:1" x14ac:dyDescent="0.25">
      <c r="A44">
        <f ca="1"/>
        <v>5.8211824828982799</v>
      </c>
    </row>
    <row r="45" spans="1:1" x14ac:dyDescent="0.25">
      <c r="A45">
        <f ca="1"/>
        <v>52.428121691098028</v>
      </c>
    </row>
    <row r="46" spans="1:1" x14ac:dyDescent="0.25">
      <c r="A46">
        <f ca="1"/>
        <v>58.292474762084254</v>
      </c>
    </row>
    <row r="47" spans="1:1" x14ac:dyDescent="0.25">
      <c r="A47">
        <f ca="1"/>
        <v>96.435521545353978</v>
      </c>
    </row>
    <row r="48" spans="1:1" x14ac:dyDescent="0.25">
      <c r="A48">
        <f ca="1"/>
        <v>40.778698831269139</v>
      </c>
    </row>
    <row r="49" spans="1:1" x14ac:dyDescent="0.25">
      <c r="A49">
        <f ca="1"/>
        <v>44.932865991376957</v>
      </c>
    </row>
    <row r="50" spans="1:1" x14ac:dyDescent="0.25">
      <c r="A50">
        <f ca="1"/>
        <v>77.528889193229034</v>
      </c>
    </row>
    <row r="51" spans="1:1" x14ac:dyDescent="0.25">
      <c r="A51">
        <f ca="1"/>
        <v>40.17607090210015</v>
      </c>
    </row>
    <row r="52" spans="1:1" x14ac:dyDescent="0.25">
      <c r="A52">
        <f ca="1"/>
        <v>67.727639489527647</v>
      </c>
    </row>
    <row r="53" spans="1:1" x14ac:dyDescent="0.25">
      <c r="A53">
        <f ca="1"/>
        <v>58.409494606619589</v>
      </c>
    </row>
    <row r="54" spans="1:1" x14ac:dyDescent="0.25">
      <c r="A54">
        <f ca="1"/>
        <v>14.200480341292831</v>
      </c>
    </row>
    <row r="55" spans="1:1" x14ac:dyDescent="0.25">
      <c r="A55">
        <f ca="1"/>
        <v>81.708391491999933</v>
      </c>
    </row>
    <row r="56" spans="1:1" x14ac:dyDescent="0.25">
      <c r="A56">
        <f ca="1"/>
        <v>57.428558402684502</v>
      </c>
    </row>
    <row r="57" spans="1:1" x14ac:dyDescent="0.25">
      <c r="A57">
        <f ca="1"/>
        <v>10.908497021649907</v>
      </c>
    </row>
    <row r="58" spans="1:1" x14ac:dyDescent="0.25">
      <c r="A58">
        <f ca="1"/>
        <v>4.4382752414378501</v>
      </c>
    </row>
    <row r="59" spans="1:1" x14ac:dyDescent="0.25">
      <c r="A59">
        <f ca="1"/>
        <v>27.667804835189528</v>
      </c>
    </row>
    <row r="60" spans="1:1" x14ac:dyDescent="0.25">
      <c r="A60">
        <f ca="1"/>
        <v>92.72744708901844</v>
      </c>
    </row>
    <row r="61" spans="1:1" x14ac:dyDescent="0.25">
      <c r="A61">
        <f ca="1"/>
        <v>67.210452995064557</v>
      </c>
    </row>
    <row r="62" spans="1:1" x14ac:dyDescent="0.25">
      <c r="A62">
        <f ca="1"/>
        <v>50.438274929206983</v>
      </c>
    </row>
    <row r="63" spans="1:1" x14ac:dyDescent="0.25">
      <c r="A63">
        <f ca="1"/>
        <v>41.359858622757116</v>
      </c>
    </row>
    <row r="64" spans="1:1" x14ac:dyDescent="0.25">
      <c r="A64">
        <f ca="1"/>
        <v>19.024812412621785</v>
      </c>
    </row>
    <row r="65" spans="1:1" x14ac:dyDescent="0.25">
      <c r="A65">
        <f ca="1"/>
        <v>47.706334931826888</v>
      </c>
    </row>
    <row r="66" spans="1:1" x14ac:dyDescent="0.25">
      <c r="A66">
        <f ca="1"/>
        <v>45.764396736057392</v>
      </c>
    </row>
    <row r="67" spans="1:1" x14ac:dyDescent="0.25">
      <c r="A67">
        <f ca="1"/>
        <v>24.841114594832248</v>
      </c>
    </row>
    <row r="68" spans="1:1" x14ac:dyDescent="0.25">
      <c r="A68">
        <f ca="1"/>
        <v>4.1781525314938364</v>
      </c>
    </row>
    <row r="69" spans="1:1" x14ac:dyDescent="0.25">
      <c r="A69">
        <f ca="1"/>
        <v>8.2271946779276419</v>
      </c>
    </row>
    <row r="70" spans="1:1" x14ac:dyDescent="0.25">
      <c r="A70">
        <f ca="1"/>
        <v>16.710116238584689</v>
      </c>
    </row>
    <row r="71" spans="1:1" x14ac:dyDescent="0.25">
      <c r="A71">
        <f ca="1"/>
        <v>40.001226847443718</v>
      </c>
    </row>
    <row r="72" spans="1:1" x14ac:dyDescent="0.25">
      <c r="A72">
        <f ca="1"/>
        <v>54.77585315112961</v>
      </c>
    </row>
    <row r="73" spans="1:1" x14ac:dyDescent="0.25">
      <c r="A73">
        <f ca="1"/>
        <v>51.10173729318484</v>
      </c>
    </row>
    <row r="74" spans="1:1" x14ac:dyDescent="0.25">
      <c r="A74">
        <f ca="1"/>
        <v>64.551141469276132</v>
      </c>
    </row>
    <row r="75" spans="1:1" x14ac:dyDescent="0.25">
      <c r="A75">
        <f ca="1"/>
        <v>90.453851457237761</v>
      </c>
    </row>
    <row r="76" spans="1:1" x14ac:dyDescent="0.25">
      <c r="A76">
        <f ca="1"/>
        <v>80.125353996975875</v>
      </c>
    </row>
    <row r="77" spans="1:1" x14ac:dyDescent="0.25">
      <c r="A77">
        <f ca="1"/>
        <v>96.946499020949261</v>
      </c>
    </row>
    <row r="78" spans="1:1" x14ac:dyDescent="0.25">
      <c r="A78">
        <f ca="1"/>
        <v>60.637036724266096</v>
      </c>
    </row>
    <row r="79" spans="1:1" x14ac:dyDescent="0.25">
      <c r="A79">
        <f ca="1"/>
        <v>53.658340048157257</v>
      </c>
    </row>
    <row r="80" spans="1:1" x14ac:dyDescent="0.25">
      <c r="A80">
        <f ca="1"/>
        <v>68.081212559377789</v>
      </c>
    </row>
    <row r="81" spans="1:1" x14ac:dyDescent="0.25">
      <c r="A81">
        <f ca="1"/>
        <v>44.10341515377543</v>
      </c>
    </row>
    <row r="82" spans="1:1" x14ac:dyDescent="0.25">
      <c r="A82">
        <f ca="1"/>
        <v>73.545567159790139</v>
      </c>
    </row>
    <row r="83" spans="1:1" x14ac:dyDescent="0.25">
      <c r="A83">
        <f ca="1"/>
        <v>79.39728367586909</v>
      </c>
    </row>
    <row r="84" spans="1:1" x14ac:dyDescent="0.25">
      <c r="A84">
        <f ca="1"/>
        <v>38.528249265571844</v>
      </c>
    </row>
    <row r="85" spans="1:1" x14ac:dyDescent="0.25">
      <c r="A85">
        <f ca="1"/>
        <v>46.699786621176443</v>
      </c>
    </row>
    <row r="86" spans="1:1" x14ac:dyDescent="0.25">
      <c r="A86">
        <f ca="1"/>
        <v>16.343985861418275</v>
      </c>
    </row>
    <row r="87" spans="1:1" x14ac:dyDescent="0.25">
      <c r="A87">
        <f ca="1"/>
        <v>77.120111921561161</v>
      </c>
    </row>
    <row r="88" spans="1:1" x14ac:dyDescent="0.25">
      <c r="A88">
        <f ca="1"/>
        <v>50.437962427034989</v>
      </c>
    </row>
    <row r="89" spans="1:1" x14ac:dyDescent="0.25">
      <c r="A89">
        <f ca="1"/>
        <v>43.398800006431472</v>
      </c>
    </row>
    <row r="90" spans="1:1" x14ac:dyDescent="0.25">
      <c r="A90">
        <f ca="1"/>
        <v>44.354059484302454</v>
      </c>
    </row>
    <row r="91" spans="1:1" x14ac:dyDescent="0.25">
      <c r="A91">
        <f ca="1"/>
        <v>34.792323770506883</v>
      </c>
    </row>
    <row r="92" spans="1:1" x14ac:dyDescent="0.25">
      <c r="A92">
        <f ca="1"/>
        <v>46.448011591045898</v>
      </c>
    </row>
    <row r="93" spans="1:1" x14ac:dyDescent="0.25">
      <c r="A93">
        <f ca="1"/>
        <v>72.549702435840686</v>
      </c>
    </row>
    <row r="94" spans="1:1" x14ac:dyDescent="0.25">
      <c r="A94">
        <f ca="1"/>
        <v>43.449515482025802</v>
      </c>
    </row>
    <row r="95" spans="1:1" x14ac:dyDescent="0.25">
      <c r="A95">
        <f ca="1"/>
        <v>45.400056643695009</v>
      </c>
    </row>
    <row r="96" spans="1:1" x14ac:dyDescent="0.25">
      <c r="A96">
        <f ca="1"/>
        <v>42.295608173531349</v>
      </c>
    </row>
    <row r="97" spans="1:1" x14ac:dyDescent="0.25">
      <c r="A97">
        <f ca="1"/>
        <v>86.272335878197779</v>
      </c>
    </row>
    <row r="98" spans="1:1" x14ac:dyDescent="0.25">
      <c r="A98">
        <f ca="1"/>
        <v>60.938352595206936</v>
      </c>
    </row>
    <row r="99" spans="1:1" x14ac:dyDescent="0.25">
      <c r="A99">
        <f ca="1"/>
        <v>10.64550586283751</v>
      </c>
    </row>
    <row r="100" spans="1:1" x14ac:dyDescent="0.25">
      <c r="A100">
        <f ca="1"/>
        <v>93.53010253648425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Molligo</dc:creator>
  <cp:lastModifiedBy>Patrick Molligo</cp:lastModifiedBy>
  <dcterms:created xsi:type="dcterms:W3CDTF">2026-05-28T18:01:16Z</dcterms:created>
  <dcterms:modified xsi:type="dcterms:W3CDTF">2026-05-28T18:44:08Z</dcterms:modified>
</cp:coreProperties>
</file>