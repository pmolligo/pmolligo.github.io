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d23038eafab23/Documents/ucla/2025-2026/Spring/Econ97/R labs/"/>
    </mc:Choice>
  </mc:AlternateContent>
  <xr:revisionPtr revIDLastSave="15" documentId="8_{29A9F882-E193-4E88-B247-A7B44156CC4A}" xr6:coauthVersionLast="47" xr6:coauthVersionMax="47" xr10:uidLastSave="{0F37B8BC-F7E8-41DF-9C6C-AF64A9933D82}"/>
  <bookViews>
    <workbookView xWindow="-108" yWindow="-108" windowWidth="23256" windowHeight="12456" xr2:uid="{7870A203-2D72-4ED9-B333-D96353CBB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1" l="1"/>
  <c r="H22" i="1" s="1"/>
  <c r="H25" i="1"/>
  <c r="H26" i="1" s="1"/>
  <c r="I25" i="1"/>
  <c r="E22" i="1"/>
  <c r="D22" i="1"/>
  <c r="C22" i="1"/>
  <c r="B22" i="1"/>
  <c r="A22" i="1"/>
  <c r="F22" i="1" s="1"/>
  <c r="H13" i="1"/>
  <c r="H16" i="1"/>
  <c r="H17" i="1" s="1"/>
  <c r="I16" i="1"/>
  <c r="E13" i="1"/>
  <c r="D13" i="1"/>
  <c r="C13" i="1"/>
  <c r="B13" i="1"/>
  <c r="A13" i="1"/>
  <c r="F13" i="1" s="1"/>
  <c r="G13" i="1" s="1"/>
  <c r="H7" i="1"/>
  <c r="H8" i="1" s="1"/>
  <c r="I7" i="1"/>
  <c r="E4" i="1"/>
  <c r="D4" i="1"/>
  <c r="C4" i="1"/>
  <c r="B4" i="1"/>
  <c r="A4" i="1"/>
  <c r="F4" i="1" s="1"/>
  <c r="G4" i="1" s="1"/>
  <c r="H4" i="1" s="1"/>
</calcChain>
</file>

<file path=xl/sharedStrings.xml><?xml version="1.0" encoding="utf-8"?>
<sst xmlns="http://schemas.openxmlformats.org/spreadsheetml/2006/main" count="15" uniqueCount="7">
  <si>
    <t>different ranks</t>
  </si>
  <si>
    <t>different hand orders</t>
  </si>
  <si>
    <t>base prob.</t>
  </si>
  <si>
    <t>4 of a kind</t>
  </si>
  <si>
    <t>1 pair</t>
  </si>
  <si>
    <t>52 choose 5</t>
  </si>
  <si>
    <t>2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</si>
</sst>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63B2-FCA1-43CF-A97A-E2409BAB42C4}">
  <dimension ref="A1:I26"/>
  <sheetViews>
    <sheetView tabSelected="1" topLeftCell="A9" workbookViewId="0">
      <selection activeCell="O19" sqref="O19"/>
    </sheetView>
  </sheetViews>
  <sheetFormatPr defaultRowHeight="14.4" x14ac:dyDescent="0.3"/>
  <cols>
    <col min="6" max="6" width="12" bestFit="1" customWidth="1"/>
    <col min="7" max="7" width="14.88671875" customWidth="1"/>
    <col min="8" max="8" width="14.21875" customWidth="1"/>
  </cols>
  <sheetData>
    <row r="1" spans="1:9" x14ac:dyDescent="0.3">
      <c r="A1" t="s">
        <v>3</v>
      </c>
    </row>
    <row r="2" spans="1:9" x14ac:dyDescent="0.3">
      <c r="A2">
        <v>4</v>
      </c>
      <c r="B2">
        <v>3</v>
      </c>
      <c r="C2">
        <v>2</v>
      </c>
      <c r="D2">
        <v>1</v>
      </c>
      <c r="E2">
        <v>48</v>
      </c>
    </row>
    <row r="3" spans="1:9" x14ac:dyDescent="0.3">
      <c r="A3">
        <v>52</v>
      </c>
      <c r="B3">
        <v>51</v>
      </c>
      <c r="C3">
        <v>50</v>
      </c>
      <c r="D3">
        <v>49</v>
      </c>
      <c r="E3">
        <v>48</v>
      </c>
      <c r="F3" t="s">
        <v>2</v>
      </c>
      <c r="G3" t="s">
        <v>0</v>
      </c>
      <c r="H3" t="s">
        <v>1</v>
      </c>
    </row>
    <row r="4" spans="1:9" x14ac:dyDescent="0.3">
      <c r="A4">
        <f>A2/A3</f>
        <v>7.6923076923076927E-2</v>
      </c>
      <c r="B4">
        <f t="shared" ref="B4:E4" si="0">B2/B3</f>
        <v>5.8823529411764705E-2</v>
      </c>
      <c r="C4">
        <f t="shared" si="0"/>
        <v>0.04</v>
      </c>
      <c r="D4">
        <f t="shared" si="0"/>
        <v>2.0408163265306121E-2</v>
      </c>
      <c r="E4">
        <f t="shared" si="0"/>
        <v>1</v>
      </c>
      <c r="F4" s="1">
        <f>PRODUCT(A4:E4)</f>
        <v>3.6937852063902484E-6</v>
      </c>
      <c r="G4">
        <f>F4*13</f>
        <v>4.8019207683073229E-5</v>
      </c>
      <c r="H4">
        <f>G4*COMBIN(5,4)</f>
        <v>2.4009603841536613E-4</v>
      </c>
    </row>
    <row r="6" spans="1:9" x14ac:dyDescent="0.3">
      <c r="I6" t="s">
        <v>5</v>
      </c>
    </row>
    <row r="7" spans="1:9" x14ac:dyDescent="0.3">
      <c r="H7">
        <f>COMBIN(13,1)*COMBIN(4,4)*COMBIN(48,1)</f>
        <v>624</v>
      </c>
      <c r="I7">
        <f>COMBIN(52,5)</f>
        <v>2598960</v>
      </c>
    </row>
    <row r="8" spans="1:9" x14ac:dyDescent="0.3">
      <c r="H8">
        <f>H7/I7</f>
        <v>2.4009603841536616E-4</v>
      </c>
    </row>
    <row r="10" spans="1:9" x14ac:dyDescent="0.3">
      <c r="A10" t="s">
        <v>4</v>
      </c>
    </row>
    <row r="11" spans="1:9" x14ac:dyDescent="0.3">
      <c r="A11">
        <v>4</v>
      </c>
      <c r="B11">
        <v>3</v>
      </c>
      <c r="C11">
        <v>48</v>
      </c>
      <c r="D11">
        <v>44</v>
      </c>
      <c r="E11">
        <v>40</v>
      </c>
    </row>
    <row r="12" spans="1:9" x14ac:dyDescent="0.3">
      <c r="A12">
        <v>52</v>
      </c>
      <c r="B12">
        <v>51</v>
      </c>
      <c r="C12">
        <v>50</v>
      </c>
      <c r="D12">
        <v>49</v>
      </c>
      <c r="E12">
        <v>48</v>
      </c>
      <c r="F12" t="s">
        <v>2</v>
      </c>
      <c r="G12" t="s">
        <v>0</v>
      </c>
      <c r="H12" t="s">
        <v>1</v>
      </c>
    </row>
    <row r="13" spans="1:9" x14ac:dyDescent="0.3">
      <c r="A13">
        <f>A11/A12</f>
        <v>7.6923076923076927E-2</v>
      </c>
      <c r="B13">
        <f t="shared" ref="B13" si="1">B11/B12</f>
        <v>5.8823529411764705E-2</v>
      </c>
      <c r="C13">
        <f t="shared" ref="C13" si="2">C11/C12</f>
        <v>0.96</v>
      </c>
      <c r="D13">
        <f t="shared" ref="D13" si="3">D11/D12</f>
        <v>0.89795918367346939</v>
      </c>
      <c r="E13">
        <f t="shared" ref="E13" si="4">E11/E12</f>
        <v>0.83333333333333337</v>
      </c>
      <c r="F13" s="1">
        <f>PRODUCT(A13:E13)</f>
        <v>3.250530981623419E-3</v>
      </c>
      <c r="G13">
        <f>F13*13</f>
        <v>4.2256902761104449E-2</v>
      </c>
      <c r="H13">
        <f>G13*COMBIN(5,2)</f>
        <v>0.42256902761104448</v>
      </c>
    </row>
    <row r="15" spans="1:9" x14ac:dyDescent="0.3">
      <c r="I15" t="s">
        <v>5</v>
      </c>
    </row>
    <row r="16" spans="1:9" x14ac:dyDescent="0.3">
      <c r="H16">
        <f>COMBIN(13,1)*COMBIN(4,2)*COMBIN(12,3)*4*4*4</f>
        <v>1098240</v>
      </c>
      <c r="I16">
        <f>COMBIN(52,5)</f>
        <v>2598960</v>
      </c>
    </row>
    <row r="17" spans="1:9" x14ac:dyDescent="0.3">
      <c r="H17">
        <f>H16/I16</f>
        <v>0.42256902761104442</v>
      </c>
    </row>
    <row r="19" spans="1:9" x14ac:dyDescent="0.3">
      <c r="A19" t="s">
        <v>6</v>
      </c>
    </row>
    <row r="20" spans="1:9" x14ac:dyDescent="0.3">
      <c r="A20">
        <v>4</v>
      </c>
      <c r="B20">
        <v>3</v>
      </c>
      <c r="C20">
        <v>4</v>
      </c>
      <c r="D20">
        <v>3</v>
      </c>
      <c r="E20">
        <v>44</v>
      </c>
    </row>
    <row r="21" spans="1:9" x14ac:dyDescent="0.3">
      <c r="A21">
        <v>52</v>
      </c>
      <c r="B21">
        <v>51</v>
      </c>
      <c r="C21">
        <v>50</v>
      </c>
      <c r="D21">
        <v>49</v>
      </c>
      <c r="E21">
        <v>48</v>
      </c>
      <c r="F21" t="s">
        <v>2</v>
      </c>
      <c r="G21" t="s">
        <v>0</v>
      </c>
      <c r="H21" t="s">
        <v>1</v>
      </c>
    </row>
    <row r="22" spans="1:9" x14ac:dyDescent="0.3">
      <c r="A22">
        <f>A20/A21</f>
        <v>7.6923076923076927E-2</v>
      </c>
      <c r="B22">
        <f t="shared" ref="B22" si="5">B20/B21</f>
        <v>5.8823529411764705E-2</v>
      </c>
      <c r="C22">
        <f t="shared" ref="C22" si="6">C20/C21</f>
        <v>0.08</v>
      </c>
      <c r="D22">
        <f t="shared" ref="D22" si="7">D20/D21</f>
        <v>6.1224489795918366E-2</v>
      </c>
      <c r="E22">
        <f t="shared" ref="E22" si="8">E20/E21</f>
        <v>0.91666666666666663</v>
      </c>
      <c r="F22" s="1">
        <f>PRODUCT(A22:E22)</f>
        <v>2.0315818635146367E-5</v>
      </c>
      <c r="G22">
        <f>F22*COMBIN(13,2)</f>
        <v>1.5846338535414166E-3</v>
      </c>
      <c r="H22">
        <f>G22*COMBIN(5,2)*COMBIN(3,2)</f>
        <v>4.7539015606242498E-2</v>
      </c>
    </row>
    <row r="24" spans="1:9" x14ac:dyDescent="0.3">
      <c r="I24" t="s">
        <v>5</v>
      </c>
    </row>
    <row r="25" spans="1:9" x14ac:dyDescent="0.3">
      <c r="H25">
        <f>COMBIN(13,2)*COMBIN(4,2)*COMBIN(4,2)*COMBIN(11,1)*4</f>
        <v>123552</v>
      </c>
      <c r="I25">
        <f>COMBIN(52,5)</f>
        <v>2598960</v>
      </c>
    </row>
    <row r="26" spans="1:9" x14ac:dyDescent="0.3">
      <c r="H26">
        <f>H25/I25</f>
        <v>4.7539015606242498E-2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Molligo</dc:creator>
  <cp:lastModifiedBy>Patrick Molligo</cp:lastModifiedBy>
  <dcterms:created xsi:type="dcterms:W3CDTF">2026-04-21T04:31:38Z</dcterms:created>
  <dcterms:modified xsi:type="dcterms:W3CDTF">2026-04-21T05:12:54Z</dcterms:modified>
</cp:coreProperties>
</file>